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fikes/Documents/GitHub/AutoNav-Charge_Indicator-KiCad_Pcb/Charge_Indicator/"/>
    </mc:Choice>
  </mc:AlternateContent>
  <xr:revisionPtr revIDLastSave="0" documentId="13_ncr:1_{A9D0AEFC-B30B-504D-A256-3EB845899424}" xr6:coauthVersionLast="47" xr6:coauthVersionMax="47" xr10:uidLastSave="{00000000-0000-0000-0000-000000000000}"/>
  <bookViews>
    <workbookView xWindow="2680" yWindow="660" windowWidth="26380" windowHeight="17820" xr2:uid="{D0034172-5926-624C-8489-43AE01C131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3" i="1"/>
</calcChain>
</file>

<file path=xl/sharedStrings.xml><?xml version="1.0" encoding="utf-8"?>
<sst xmlns="http://schemas.openxmlformats.org/spreadsheetml/2006/main" count="6" uniqueCount="6">
  <si>
    <t>5v0 line lowest</t>
    <phoneticPr fontId="1"/>
  </si>
  <si>
    <t>Voltage [V]</t>
    <phoneticPr fontId="1"/>
  </si>
  <si>
    <t>Current [A]</t>
    <phoneticPr fontId="1"/>
  </si>
  <si>
    <t>3v3 line lowest</t>
  </si>
  <si>
    <t>Calculated Power Draw [W]</t>
  </si>
  <si>
    <t>ESR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</si>
</sst>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0000"/>
  </numFmts>
  <fonts count="2" x14ac:knownFonts="1">
    <font>
      <sz val="12"/>
      <color theme="1"/>
      <name val="Aptos Narrow"/>
      <family val="2"/>
      <charset val="128"/>
      <scheme val="minor"/>
    </font>
    <font>
      <sz val="6"/>
      <name val="Aptos Narrow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2" fontId="0" fillId="0" borderId="0" xfId="0" applyNumberFormat="1">
      <alignment vertical="center"/>
    </xf>
    <xf numFmtId="164" fontId="0" fillId="0" borderId="0" xfId="0" applyNumberFormat="1">
      <alignment vertical="center"/>
    </xf>
    <xf numFmtId="166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Draw</a:t>
            </a:r>
            <a:r>
              <a:rPr lang="en-US" baseline="0"/>
              <a:t> vs. Power Supply Voltage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Current [A]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Sheet1!$B$3:$B$26</c:f>
              <c:numCache>
                <c:formatCode>0.00</c:formatCode>
                <c:ptCount val="24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26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30</c:v>
                </c:pt>
              </c:numCache>
            </c:numRef>
          </c:xVal>
          <c:yVal>
            <c:numRef>
              <c:f>Sheet1!$C$3:$C$26</c:f>
              <c:numCache>
                <c:formatCode>General</c:formatCode>
                <c:ptCount val="24"/>
                <c:pt idx="0">
                  <c:v>2.9000000000000001E-2</c:v>
                </c:pt>
                <c:pt idx="1">
                  <c:v>2.5999999999999999E-2</c:v>
                </c:pt>
                <c:pt idx="2">
                  <c:v>2.4E-2</c:v>
                </c:pt>
                <c:pt idx="3">
                  <c:v>2.1000000000000001E-2</c:v>
                </c:pt>
                <c:pt idx="4" formatCode="0.000">
                  <c:v>0.02</c:v>
                </c:pt>
                <c:pt idx="5">
                  <c:v>1.7999999999999999E-2</c:v>
                </c:pt>
                <c:pt idx="6">
                  <c:v>1.7999999999999999E-2</c:v>
                </c:pt>
                <c:pt idx="7">
                  <c:v>1.7999999999999999E-2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1.2999999999999999E-2</c:v>
                </c:pt>
                <c:pt idx="11">
                  <c:v>1.2E-2</c:v>
                </c:pt>
                <c:pt idx="12">
                  <c:v>1.0999999999999999E-2</c:v>
                </c:pt>
                <c:pt idx="13">
                  <c:v>1.0999999999999999E-2</c:v>
                </c:pt>
                <c:pt idx="14">
                  <c:v>8.9999999999999993E-3</c:v>
                </c:pt>
                <c:pt idx="15">
                  <c:v>8.9999999999999993E-3</c:v>
                </c:pt>
                <c:pt idx="16">
                  <c:v>8.9999999999999993E-3</c:v>
                </c:pt>
                <c:pt idx="17">
                  <c:v>8.9999999999999993E-3</c:v>
                </c:pt>
                <c:pt idx="18">
                  <c:v>8.9999999999999993E-3</c:v>
                </c:pt>
                <c:pt idx="19">
                  <c:v>7.0000000000000001E-3</c:v>
                </c:pt>
                <c:pt idx="20">
                  <c:v>7.0000000000000001E-3</c:v>
                </c:pt>
                <c:pt idx="21">
                  <c:v>7.0000000000000001E-3</c:v>
                </c:pt>
                <c:pt idx="22">
                  <c:v>6.0000000000000001E-3</c:v>
                </c:pt>
                <c:pt idx="23">
                  <c:v>6.0000000000000001E-3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76-7F46-A030-8132C5193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888064"/>
        <c:axId val="1552881344"/>
      </c:scatterChart>
      <c:valAx>
        <c:axId val="155288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881344"/>
        <c:crosses val="autoZero"/>
        <c:crossBetween val="midCat"/>
      </c:valAx>
      <c:valAx>
        <c:axId val="155288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[A]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888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5v0 Lowest</a:t>
            </a:r>
            <a:r>
              <a:rPr lang="en-US" baseline="0"/>
              <a:t> Voltage vs. Power Supply Voltage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Sheet1!$B$3:$B$26</c:f>
              <c:numCache>
                <c:formatCode>0.00</c:formatCode>
                <c:ptCount val="24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26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30</c:v>
                </c:pt>
              </c:numCache>
            </c:numRef>
          </c:xVal>
          <c:yVal>
            <c:numRef>
              <c:f>Sheet1!$D$3:$D$26</c:f>
              <c:numCache>
                <c:formatCode>0.000</c:formatCode>
                <c:ptCount val="24"/>
                <c:pt idx="0">
                  <c:v>5.04</c:v>
                </c:pt>
                <c:pt idx="1">
                  <c:v>4.96</c:v>
                </c:pt>
                <c:pt idx="2">
                  <c:v>4.96</c:v>
                </c:pt>
                <c:pt idx="3">
                  <c:v>4.96</c:v>
                </c:pt>
                <c:pt idx="4">
                  <c:v>4.96</c:v>
                </c:pt>
                <c:pt idx="5">
                  <c:v>4.96</c:v>
                </c:pt>
                <c:pt idx="6">
                  <c:v>4.92</c:v>
                </c:pt>
                <c:pt idx="7">
                  <c:v>4.96</c:v>
                </c:pt>
                <c:pt idx="8">
                  <c:v>4.88</c:v>
                </c:pt>
                <c:pt idx="9">
                  <c:v>4.84</c:v>
                </c:pt>
                <c:pt idx="10">
                  <c:v>4.84</c:v>
                </c:pt>
                <c:pt idx="11">
                  <c:v>4.84</c:v>
                </c:pt>
                <c:pt idx="12">
                  <c:v>4.8</c:v>
                </c:pt>
                <c:pt idx="13">
                  <c:v>4.8</c:v>
                </c:pt>
                <c:pt idx="14">
                  <c:v>4.76</c:v>
                </c:pt>
                <c:pt idx="15">
                  <c:v>4.72</c:v>
                </c:pt>
                <c:pt idx="16">
                  <c:v>4.68</c:v>
                </c:pt>
                <c:pt idx="17">
                  <c:v>4.6399999999999997</c:v>
                </c:pt>
                <c:pt idx="18">
                  <c:v>4.68</c:v>
                </c:pt>
                <c:pt idx="19">
                  <c:v>4.68</c:v>
                </c:pt>
                <c:pt idx="20">
                  <c:v>4.68</c:v>
                </c:pt>
                <c:pt idx="21">
                  <c:v>4.6399999999999997</c:v>
                </c:pt>
                <c:pt idx="22">
                  <c:v>4.68</c:v>
                </c:pt>
                <c:pt idx="23">
                  <c:v>4.68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1A-AF48-9346-B7700CD3E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6934848"/>
        <c:axId val="1590854528"/>
      </c:scatterChart>
      <c:valAx>
        <c:axId val="154693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</a:t>
                </a:r>
                <a:r>
                  <a:rPr lang="en-US" baseline="0"/>
                  <a:t> Supply [V]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854528"/>
        <c:crosses val="autoZero"/>
        <c:crossBetween val="midCat"/>
      </c:valAx>
      <c:valAx>
        <c:axId val="159085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5v0</a:t>
                </a:r>
                <a:r>
                  <a:rPr lang="en-US" baseline="0"/>
                  <a:t> Voltage [V]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934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3v3</a:t>
            </a:r>
            <a:r>
              <a:rPr lang="en-US" baseline="0"/>
              <a:t> Lowest Voltage vs. Power Supply Voltage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Sheet1!$B$3:$B$26</c:f>
              <c:numCache>
                <c:formatCode>0.00</c:formatCode>
                <c:ptCount val="24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26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30</c:v>
                </c:pt>
              </c:numCache>
            </c:numRef>
          </c:xVal>
          <c:yVal>
            <c:numRef>
              <c:f>Sheet1!$E$3:$E$26</c:f>
              <c:numCache>
                <c:formatCode>0.000</c:formatCode>
                <c:ptCount val="24"/>
                <c:pt idx="0">
                  <c:v>3.2</c:v>
                </c:pt>
                <c:pt idx="1">
                  <c:v>3.24</c:v>
                </c:pt>
                <c:pt idx="2">
                  <c:v>3.2</c:v>
                </c:pt>
                <c:pt idx="3">
                  <c:v>3.2</c:v>
                </c:pt>
                <c:pt idx="4">
                  <c:v>3.24</c:v>
                </c:pt>
                <c:pt idx="5">
                  <c:v>3.2</c:v>
                </c:pt>
                <c:pt idx="6">
                  <c:v>3.2</c:v>
                </c:pt>
                <c:pt idx="7">
                  <c:v>3.16</c:v>
                </c:pt>
                <c:pt idx="8">
                  <c:v>3.2</c:v>
                </c:pt>
                <c:pt idx="9">
                  <c:v>3.12</c:v>
                </c:pt>
                <c:pt idx="10">
                  <c:v>3.24</c:v>
                </c:pt>
                <c:pt idx="11">
                  <c:v>3.2</c:v>
                </c:pt>
                <c:pt idx="12">
                  <c:v>3.24</c:v>
                </c:pt>
                <c:pt idx="13">
                  <c:v>3.2</c:v>
                </c:pt>
                <c:pt idx="14">
                  <c:v>3.2</c:v>
                </c:pt>
                <c:pt idx="15">
                  <c:v>3.2</c:v>
                </c:pt>
                <c:pt idx="16">
                  <c:v>3.24</c:v>
                </c:pt>
                <c:pt idx="17">
                  <c:v>3.2</c:v>
                </c:pt>
                <c:pt idx="18">
                  <c:v>3.2</c:v>
                </c:pt>
                <c:pt idx="19">
                  <c:v>3.24</c:v>
                </c:pt>
                <c:pt idx="20">
                  <c:v>3.2</c:v>
                </c:pt>
                <c:pt idx="21">
                  <c:v>3.2</c:v>
                </c:pt>
                <c:pt idx="22">
                  <c:v>3.24</c:v>
                </c:pt>
                <c:pt idx="23">
                  <c:v>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2E-FC49-BA53-261CD57D3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3928512"/>
        <c:axId val="1603931648"/>
      </c:scatterChart>
      <c:valAx>
        <c:axId val="160392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Supply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931648"/>
        <c:crosses val="autoZero"/>
        <c:crossBetween val="midCat"/>
      </c:valAx>
      <c:valAx>
        <c:axId val="1603931648"/>
        <c:scaling>
          <c:orientation val="minMax"/>
          <c:max val="3.5000000000000009"/>
          <c:min val="3.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3v3</a:t>
                </a:r>
                <a:r>
                  <a:rPr lang="en-US" baseline="0"/>
                  <a:t> Voltage [V]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928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Draw (P=IV)</a:t>
            </a:r>
            <a:r>
              <a:rPr lang="en-US" baseline="0"/>
              <a:t> vs. Power Supply Voltage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Sheet1!$B$3:$B$26</c:f>
              <c:numCache>
                <c:formatCode>0.00</c:formatCode>
                <c:ptCount val="24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26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30</c:v>
                </c:pt>
              </c:numCache>
            </c:numRef>
          </c:xVal>
          <c:yVal>
            <c:numRef>
              <c:f>Sheet1!$F$3:$F$26</c:f>
              <c:numCache>
                <c:formatCode>0.00000</c:formatCode>
                <c:ptCount val="24"/>
                <c:pt idx="0">
                  <c:v>0.20300000000000001</c:v>
                </c:pt>
                <c:pt idx="1">
                  <c:v>0.20799999999999999</c:v>
                </c:pt>
                <c:pt idx="2">
                  <c:v>0.216</c:v>
                </c:pt>
                <c:pt idx="3">
                  <c:v>0.21000000000000002</c:v>
                </c:pt>
                <c:pt idx="4">
                  <c:v>0.22</c:v>
                </c:pt>
                <c:pt idx="5">
                  <c:v>0.21599999999999997</c:v>
                </c:pt>
                <c:pt idx="6">
                  <c:v>0.23399999999999999</c:v>
                </c:pt>
                <c:pt idx="7">
                  <c:v>0.252</c:v>
                </c:pt>
                <c:pt idx="8">
                  <c:v>0.22499999999999998</c:v>
                </c:pt>
                <c:pt idx="9">
                  <c:v>0.24</c:v>
                </c:pt>
                <c:pt idx="10">
                  <c:v>0.221</c:v>
                </c:pt>
                <c:pt idx="11">
                  <c:v>0.216</c:v>
                </c:pt>
                <c:pt idx="12">
                  <c:v>0.20899999999999999</c:v>
                </c:pt>
                <c:pt idx="13">
                  <c:v>0.21999999999999997</c:v>
                </c:pt>
                <c:pt idx="14">
                  <c:v>0.18899999999999997</c:v>
                </c:pt>
                <c:pt idx="15">
                  <c:v>0.19799999999999998</c:v>
                </c:pt>
                <c:pt idx="16">
                  <c:v>0.20699999999999999</c:v>
                </c:pt>
                <c:pt idx="17">
                  <c:v>0.21599999999999997</c:v>
                </c:pt>
                <c:pt idx="18">
                  <c:v>0.22499999999999998</c:v>
                </c:pt>
                <c:pt idx="19">
                  <c:v>0.182</c:v>
                </c:pt>
                <c:pt idx="20">
                  <c:v>0.189</c:v>
                </c:pt>
                <c:pt idx="21">
                  <c:v>0.19600000000000001</c:v>
                </c:pt>
                <c:pt idx="22">
                  <c:v>0.17400000000000002</c:v>
                </c:pt>
                <c:pt idx="23">
                  <c:v>0.18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30-8449-85F5-02E8E9917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517632"/>
        <c:axId val="1587983936"/>
      </c:scatterChart>
      <c:valAx>
        <c:axId val="161351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</a:t>
                </a:r>
                <a:r>
                  <a:rPr lang="en-US" baseline="0"/>
                  <a:t> Supply [V]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983936"/>
        <c:crosses val="autoZero"/>
        <c:crossBetween val="midCat"/>
      </c:valAx>
      <c:valAx>
        <c:axId val="158798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</a:t>
                </a:r>
                <a:r>
                  <a:rPr lang="en-US" baseline="0"/>
                  <a:t> Draw [W]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517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1</xdr:row>
      <xdr:rowOff>57150</xdr:rowOff>
    </xdr:from>
    <xdr:to>
      <xdr:col>16</xdr:col>
      <xdr:colOff>774700</xdr:colOff>
      <xdr:row>25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2C7B70-5573-C8B7-4D54-5119A6D1D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438150</xdr:colOff>
      <xdr:row>27</xdr:row>
      <xdr:rowOff>44450</xdr:rowOff>
    </xdr:from>
    <xdr:to>
      <xdr:col>15</xdr:col>
      <xdr:colOff>57150</xdr:colOff>
      <xdr:row>40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625120-6934-CD81-B776-DA37DD4E35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196850</xdr:colOff>
      <xdr:row>28</xdr:row>
      <xdr:rowOff>44450</xdr:rowOff>
    </xdr:from>
    <xdr:to>
      <xdr:col>8</xdr:col>
      <xdr:colOff>273050</xdr:colOff>
      <xdr:row>41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B5C518-14A0-AAEC-492B-59D5AEAE7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234950</xdr:colOff>
      <xdr:row>42</xdr:row>
      <xdr:rowOff>114300</xdr:rowOff>
    </xdr:from>
    <xdr:to>
      <xdr:col>5</xdr:col>
      <xdr:colOff>1136650</xdr:colOff>
      <xdr:row>56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5C2C326-E530-CB9C-F856-1CE9F6E58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3336B-EE2D-FD45-A63E-61C9415BD7FE}">
  <dimension ref="B1:H26"/>
  <sheetViews>
    <sheetView tabSelected="1" topLeftCell="A31" workbookViewId="0">
      <selection activeCell="G45" sqref="G45"/>
    </sheetView>
  </sheetViews>
  <sheetFormatPr baseColWidth="10" defaultRowHeight="16" x14ac:dyDescent="0.2"/>
  <cols>
    <col min="4" max="4" width="13.5" bestFit="1" customWidth="1"/>
    <col min="5" max="5" width="13" bestFit="1" customWidth="1"/>
    <col min="6" max="6" width="23.5" bestFit="1" customWidth="1"/>
  </cols>
  <sheetData>
    <row r="1" spans="2:8" x14ac:dyDescent="0.2">
      <c r="G1">
        <v>105000</v>
      </c>
      <c r="H1" t="s">
        <v>5</v>
      </c>
    </row>
    <row r="2" spans="2:8" x14ac:dyDescent="0.2">
      <c r="B2" t="s">
        <v>1</v>
      </c>
      <c r="C2" t="s">
        <v>2</v>
      </c>
      <c r="D2" t="s">
        <v>0</v>
      </c>
      <c r="E2" t="s">
        <v>3</v>
      </c>
      <c r="F2" t="s">
        <v>4</v>
      </c>
    </row>
    <row r="3" spans="2:8" x14ac:dyDescent="0.2">
      <c r="B3" s="1">
        <v>7</v>
      </c>
      <c r="C3">
        <v>2.9000000000000001E-2</v>
      </c>
      <c r="D3" s="2">
        <v>5.04</v>
      </c>
      <c r="E3" s="2">
        <v>3.2</v>
      </c>
      <c r="F3" s="3">
        <f>B3*C3</f>
        <v>0.20300000000000001</v>
      </c>
    </row>
    <row r="4" spans="2:8" x14ac:dyDescent="0.2">
      <c r="B4" s="1">
        <v>8</v>
      </c>
      <c r="C4">
        <v>2.5999999999999999E-2</v>
      </c>
      <c r="D4" s="2">
        <v>4.96</v>
      </c>
      <c r="E4" s="2">
        <v>3.24</v>
      </c>
      <c r="F4" s="3">
        <f t="shared" ref="F4:F26" si="0">B4*C4</f>
        <v>0.20799999999999999</v>
      </c>
    </row>
    <row r="5" spans="2:8" x14ac:dyDescent="0.2">
      <c r="B5" s="1">
        <v>9</v>
      </c>
      <c r="C5">
        <v>2.4E-2</v>
      </c>
      <c r="D5" s="2">
        <v>4.96</v>
      </c>
      <c r="E5" s="2">
        <v>3.2</v>
      </c>
      <c r="F5" s="3">
        <f t="shared" si="0"/>
        <v>0.216</v>
      </c>
    </row>
    <row r="6" spans="2:8" x14ac:dyDescent="0.2">
      <c r="B6" s="1">
        <v>10</v>
      </c>
      <c r="C6">
        <v>2.1000000000000001E-2</v>
      </c>
      <c r="D6" s="2">
        <v>4.96</v>
      </c>
      <c r="E6" s="2">
        <v>3.2</v>
      </c>
      <c r="F6" s="3">
        <f t="shared" si="0"/>
        <v>0.21000000000000002</v>
      </c>
    </row>
    <row r="7" spans="2:8" x14ac:dyDescent="0.2">
      <c r="B7" s="1">
        <v>11</v>
      </c>
      <c r="C7" s="2">
        <v>0.02</v>
      </c>
      <c r="D7" s="2">
        <v>4.96</v>
      </c>
      <c r="E7" s="2">
        <v>3.24</v>
      </c>
      <c r="F7" s="3">
        <f t="shared" si="0"/>
        <v>0.22</v>
      </c>
    </row>
    <row r="8" spans="2:8" x14ac:dyDescent="0.2">
      <c r="B8" s="1">
        <v>12</v>
      </c>
      <c r="C8">
        <v>1.7999999999999999E-2</v>
      </c>
      <c r="D8" s="2">
        <v>4.96</v>
      </c>
      <c r="E8" s="2">
        <v>3.2</v>
      </c>
      <c r="F8" s="3">
        <f t="shared" si="0"/>
        <v>0.21599999999999997</v>
      </c>
    </row>
    <row r="9" spans="2:8" x14ac:dyDescent="0.2">
      <c r="B9" s="1">
        <v>13</v>
      </c>
      <c r="C9">
        <v>1.7999999999999999E-2</v>
      </c>
      <c r="D9" s="2">
        <v>4.92</v>
      </c>
      <c r="E9" s="2">
        <v>3.2</v>
      </c>
      <c r="F9" s="3">
        <f t="shared" si="0"/>
        <v>0.23399999999999999</v>
      </c>
    </row>
    <row r="10" spans="2:8" x14ac:dyDescent="0.2">
      <c r="B10" s="1">
        <v>14</v>
      </c>
      <c r="C10">
        <v>1.7999999999999999E-2</v>
      </c>
      <c r="D10" s="2">
        <v>4.96</v>
      </c>
      <c r="E10" s="2">
        <v>3.16</v>
      </c>
      <c r="F10" s="3">
        <f t="shared" si="0"/>
        <v>0.252</v>
      </c>
    </row>
    <row r="11" spans="2:8" x14ac:dyDescent="0.2">
      <c r="B11" s="1">
        <v>15</v>
      </c>
      <c r="C11">
        <v>1.4999999999999999E-2</v>
      </c>
      <c r="D11" s="2">
        <v>4.88</v>
      </c>
      <c r="E11" s="2">
        <v>3.2</v>
      </c>
      <c r="F11" s="3">
        <f t="shared" si="0"/>
        <v>0.22499999999999998</v>
      </c>
    </row>
    <row r="12" spans="2:8" x14ac:dyDescent="0.2">
      <c r="B12" s="1">
        <v>16</v>
      </c>
      <c r="C12">
        <v>1.4999999999999999E-2</v>
      </c>
      <c r="D12" s="2">
        <v>4.84</v>
      </c>
      <c r="E12" s="2">
        <v>3.12</v>
      </c>
      <c r="F12" s="3">
        <f t="shared" si="0"/>
        <v>0.24</v>
      </c>
    </row>
    <row r="13" spans="2:8" x14ac:dyDescent="0.2">
      <c r="B13" s="1">
        <v>17</v>
      </c>
      <c r="C13">
        <v>1.2999999999999999E-2</v>
      </c>
      <c r="D13" s="2">
        <v>4.84</v>
      </c>
      <c r="E13" s="2">
        <v>3.24</v>
      </c>
      <c r="F13" s="3">
        <f t="shared" si="0"/>
        <v>0.221</v>
      </c>
    </row>
    <row r="14" spans="2:8" x14ac:dyDescent="0.2">
      <c r="B14" s="1">
        <v>18</v>
      </c>
      <c r="C14">
        <v>1.2E-2</v>
      </c>
      <c r="D14" s="2">
        <v>4.84</v>
      </c>
      <c r="E14" s="2">
        <v>3.2</v>
      </c>
      <c r="F14" s="3">
        <f t="shared" si="0"/>
        <v>0.216</v>
      </c>
    </row>
    <row r="15" spans="2:8" x14ac:dyDescent="0.2">
      <c r="B15" s="1">
        <v>19</v>
      </c>
      <c r="C15">
        <v>1.0999999999999999E-2</v>
      </c>
      <c r="D15" s="2">
        <v>4.8</v>
      </c>
      <c r="E15" s="2">
        <v>3.24</v>
      </c>
      <c r="F15" s="3">
        <f t="shared" si="0"/>
        <v>0.20899999999999999</v>
      </c>
    </row>
    <row r="16" spans="2:8" x14ac:dyDescent="0.2">
      <c r="B16" s="1">
        <v>20</v>
      </c>
      <c r="C16">
        <v>1.0999999999999999E-2</v>
      </c>
      <c r="D16" s="2">
        <v>4.8</v>
      </c>
      <c r="E16" s="2">
        <v>3.2</v>
      </c>
      <c r="F16" s="3">
        <f t="shared" si="0"/>
        <v>0.21999999999999997</v>
      </c>
    </row>
    <row r="17" spans="2:6" x14ac:dyDescent="0.2">
      <c r="B17" s="1">
        <v>21</v>
      </c>
      <c r="C17">
        <v>8.9999999999999993E-3</v>
      </c>
      <c r="D17" s="2">
        <v>4.76</v>
      </c>
      <c r="E17" s="2">
        <v>3.2</v>
      </c>
      <c r="F17" s="3">
        <f t="shared" si="0"/>
        <v>0.18899999999999997</v>
      </c>
    </row>
    <row r="18" spans="2:6" x14ac:dyDescent="0.2">
      <c r="B18" s="1">
        <v>22</v>
      </c>
      <c r="C18">
        <v>8.9999999999999993E-3</v>
      </c>
      <c r="D18" s="2">
        <v>4.72</v>
      </c>
      <c r="E18" s="2">
        <v>3.2</v>
      </c>
      <c r="F18" s="3">
        <f t="shared" si="0"/>
        <v>0.19799999999999998</v>
      </c>
    </row>
    <row r="19" spans="2:6" x14ac:dyDescent="0.2">
      <c r="B19" s="1">
        <v>23</v>
      </c>
      <c r="C19">
        <v>8.9999999999999993E-3</v>
      </c>
      <c r="D19" s="2">
        <v>4.68</v>
      </c>
      <c r="E19" s="2">
        <v>3.24</v>
      </c>
      <c r="F19" s="3">
        <f t="shared" si="0"/>
        <v>0.20699999999999999</v>
      </c>
    </row>
    <row r="20" spans="2:6" x14ac:dyDescent="0.2">
      <c r="B20" s="1">
        <v>24</v>
      </c>
      <c r="C20">
        <v>8.9999999999999993E-3</v>
      </c>
      <c r="D20" s="2">
        <v>4.6399999999999997</v>
      </c>
      <c r="E20" s="2">
        <v>3.2</v>
      </c>
      <c r="F20" s="3">
        <f t="shared" si="0"/>
        <v>0.21599999999999997</v>
      </c>
    </row>
    <row r="21" spans="2:6" x14ac:dyDescent="0.2">
      <c r="B21" s="1">
        <v>25</v>
      </c>
      <c r="C21">
        <v>8.9999999999999993E-3</v>
      </c>
      <c r="D21" s="2">
        <v>4.68</v>
      </c>
      <c r="E21" s="2">
        <v>3.2</v>
      </c>
      <c r="F21" s="3">
        <f t="shared" si="0"/>
        <v>0.22499999999999998</v>
      </c>
    </row>
    <row r="22" spans="2:6" x14ac:dyDescent="0.2">
      <c r="B22" s="1">
        <v>26</v>
      </c>
      <c r="C22">
        <v>7.0000000000000001E-3</v>
      </c>
      <c r="D22" s="2">
        <v>4.68</v>
      </c>
      <c r="E22" s="2">
        <v>3.24</v>
      </c>
      <c r="F22" s="3">
        <f t="shared" si="0"/>
        <v>0.182</v>
      </c>
    </row>
    <row r="23" spans="2:6" x14ac:dyDescent="0.2">
      <c r="B23" s="1">
        <v>27</v>
      </c>
      <c r="C23">
        <v>7.0000000000000001E-3</v>
      </c>
      <c r="D23" s="2">
        <v>4.68</v>
      </c>
      <c r="E23" s="2">
        <v>3.2</v>
      </c>
      <c r="F23" s="3">
        <f t="shared" si="0"/>
        <v>0.189</v>
      </c>
    </row>
    <row r="24" spans="2:6" x14ac:dyDescent="0.2">
      <c r="B24" s="1">
        <v>28</v>
      </c>
      <c r="C24">
        <v>7.0000000000000001E-3</v>
      </c>
      <c r="D24" s="2">
        <v>4.6399999999999997</v>
      </c>
      <c r="E24" s="2">
        <v>3.2</v>
      </c>
      <c r="F24" s="3">
        <f t="shared" si="0"/>
        <v>0.19600000000000001</v>
      </c>
    </row>
    <row r="25" spans="2:6" x14ac:dyDescent="0.2">
      <c r="B25" s="1">
        <v>29</v>
      </c>
      <c r="C25">
        <v>6.0000000000000001E-3</v>
      </c>
      <c r="D25" s="2">
        <v>4.68</v>
      </c>
      <c r="E25" s="2">
        <v>3.24</v>
      </c>
      <c r="F25" s="3">
        <f t="shared" si="0"/>
        <v>0.17400000000000002</v>
      </c>
    </row>
    <row r="26" spans="2:6" x14ac:dyDescent="0.2">
      <c r="B26" s="1">
        <v>30</v>
      </c>
      <c r="C26">
        <v>6.0000000000000001E-3</v>
      </c>
      <c r="D26" s="2">
        <v>4.68</v>
      </c>
      <c r="E26" s="2">
        <v>3.2</v>
      </c>
      <c r="F26" s="3">
        <f t="shared" si="0"/>
        <v>0.18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Fikes</dc:creator>
  <cp:lastModifiedBy>Nathan Fikes</cp:lastModifiedBy>
  <dcterms:created xsi:type="dcterms:W3CDTF">2026-01-24T19:25:43Z</dcterms:created>
  <dcterms:modified xsi:type="dcterms:W3CDTF">2026-01-24T21:12:42Z</dcterms:modified>
</cp:coreProperties>
</file>