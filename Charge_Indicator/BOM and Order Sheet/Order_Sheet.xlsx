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Charge_Indicator/BOM and Order Sheet/"/>
    </mc:Choice>
  </mc:AlternateContent>
  <xr:revisionPtr revIDLastSave="0" documentId="13_ncr:1_{3316FE39-6571-8548-884E-81D0A765BFF8}" xr6:coauthVersionLast="47" xr6:coauthVersionMax="47" xr10:uidLastSave="{00000000-0000-0000-0000-000000000000}"/>
  <bookViews>
    <workbookView xWindow="11000" yWindow="680" windowWidth="19240" windowHeight="18040" xr2:uid="{F977D430-13CE-AD47-96E5-85BBB755C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1" i="1"/>
  <c r="O31" i="1" s="1"/>
  <c r="B27" i="1"/>
  <c r="O27" i="1" s="1"/>
  <c r="B26" i="1"/>
  <c r="B28" i="1"/>
  <c r="O28" i="1" s="1"/>
  <c r="B29" i="1"/>
  <c r="O29" i="1" s="1"/>
  <c r="B30" i="1"/>
  <c r="B33" i="1"/>
  <c r="O33" i="1" s="1"/>
  <c r="B34" i="1"/>
  <c r="B35" i="1"/>
  <c r="B36" i="1"/>
  <c r="O36" i="1" s="1"/>
  <c r="B25" i="1"/>
  <c r="O35" i="1"/>
  <c r="O34" i="1"/>
  <c r="O32" i="1"/>
  <c r="B24" i="1"/>
  <c r="B23" i="1"/>
  <c r="B22" i="1"/>
  <c r="O22" i="1" s="1"/>
  <c r="B21" i="1"/>
  <c r="O21" i="1" s="1"/>
  <c r="B20" i="1"/>
  <c r="O20" i="1" s="1"/>
  <c r="B19" i="1"/>
  <c r="B18" i="1"/>
  <c r="B17" i="1"/>
  <c r="O17" i="1" s="1"/>
  <c r="B15" i="1"/>
  <c r="O15" i="1" s="1"/>
  <c r="B14" i="1"/>
  <c r="O14" i="1" s="1"/>
  <c r="B13" i="1"/>
  <c r="B12" i="1"/>
  <c r="O12" i="1" s="1"/>
  <c r="B11" i="1"/>
  <c r="O11" i="1" s="1"/>
  <c r="O16" i="1"/>
  <c r="O23" i="1"/>
  <c r="O24" i="1"/>
  <c r="O25" i="1"/>
  <c r="O26" i="1"/>
  <c r="B10" i="1"/>
  <c r="O10" i="1" s="1"/>
  <c r="B5" i="1"/>
  <c r="B6" i="1"/>
  <c r="B7" i="1"/>
  <c r="O7" i="1" s="1"/>
  <c r="B8" i="1"/>
  <c r="B9" i="1"/>
  <c r="B4" i="1"/>
  <c r="O30" i="1"/>
  <c r="O19" i="1"/>
  <c r="O18" i="1"/>
  <c r="O13" i="1"/>
  <c r="N4" i="1"/>
  <c r="O9" i="1"/>
  <c r="O8" i="1"/>
  <c r="O6" i="1"/>
  <c r="O5" i="1"/>
  <c r="O37" i="1" l="1"/>
  <c r="O39" i="1" s="1"/>
  <c r="O40" i="1" s="1"/>
  <c r="O4" i="1"/>
</calcChain>
</file>

<file path=xl/sharedStrings.xml><?xml version="1.0" encoding="utf-8"?>
<sst xmlns="http://schemas.openxmlformats.org/spreadsheetml/2006/main" count="249" uniqueCount="162">
  <si>
    <t>Qty</t>
  </si>
  <si>
    <t>Unit:
(Ea./Pkg./Ft.)</t>
  </si>
  <si>
    <t>Item Description</t>
  </si>
  <si>
    <t>Total</t>
  </si>
  <si>
    <t>Link to item</t>
  </si>
  <si>
    <t>Sub-Total</t>
  </si>
  <si>
    <t>Grand Total</t>
  </si>
  <si>
    <t>Name:</t>
  </si>
  <si>
    <t>Nathan Fikes</t>
  </si>
  <si>
    <t>MPN</t>
  </si>
  <si>
    <t>Company:</t>
  </si>
  <si>
    <t>Wavenumber LLC</t>
  </si>
  <si>
    <t>Ea.</t>
  </si>
  <si>
    <t>2-layer Bare Rigid Printed circuit board</t>
  </si>
  <si>
    <t>N/A</t>
  </si>
  <si>
    <t>Supplier</t>
  </si>
  <si>
    <t>JLCPCB</t>
  </si>
  <si>
    <t>Included in the invoice</t>
  </si>
  <si>
    <t>Unit Cost (Including Shipping if Avaliable)</t>
  </si>
  <si>
    <t>C109335</t>
  </si>
  <si>
    <t>SSSS811101</t>
  </si>
  <si>
    <t>Supplier Identifier</t>
  </si>
  <si>
    <t>Manufacturer</t>
  </si>
  <si>
    <t>ALPSALPINE</t>
  </si>
  <si>
    <t>C2862740</t>
  </si>
  <si>
    <t>Texas Instruments</t>
  </si>
  <si>
    <t>TPS7A2033PDBVR</t>
  </si>
  <si>
    <t>ERJ8ENF1002V</t>
  </si>
  <si>
    <t>PANASONIC</t>
  </si>
  <si>
    <t>C193993</t>
  </si>
  <si>
    <t>Slide Switch</t>
  </si>
  <si>
    <t>3.3V Low Dropout Regulator</t>
  </si>
  <si>
    <t>https://jlcpcb.com/partdetail/TexasInstruments-TPS7A2033PDBVR/C2862740</t>
  </si>
  <si>
    <t>https://jlcpcb.com/partdetail/ALPSALPINE-SSSS811101/C109335</t>
  </si>
  <si>
    <t>https://jlcpcb.com/partdetail/PANASONIC-ERJ8ENF1002V/C193993</t>
  </si>
  <si>
    <t>10kΩ Resistor</t>
  </si>
  <si>
    <t>12mΩ Resistor</t>
  </si>
  <si>
    <t>YAGEO</t>
  </si>
  <si>
    <t>RL1206FR-070R012L</t>
  </si>
  <si>
    <t>Digikey</t>
  </si>
  <si>
    <t>13-RL1206FR-070R012LTR-ND</t>
  </si>
  <si>
    <t>https://www.digikey.com/en/products/detail/yageo/RL1206FR-070R012L/3885436?s=N4IgTCBcDaIIwGYC0AlAMnMAGAbAMRSSwHYsUtM0AVQgOQBEQBdAXyA</t>
  </si>
  <si>
    <t>1kΩ Resistor</t>
  </si>
  <si>
    <t>C118155</t>
  </si>
  <si>
    <t>ERJ3EKF1001V</t>
  </si>
  <si>
    <t>https://jlcpcb.com/partdetail/PANASONIC-ERJ3EKF1001V/C118155</t>
  </si>
  <si>
    <t>Cost per entire Assembled PCB:</t>
  </si>
  <si>
    <t>470Ω Resistor</t>
  </si>
  <si>
    <t>C169259</t>
  </si>
  <si>
    <t>ERJ3EKF4700V</t>
  </si>
  <si>
    <t xml:space="preserve">https://jlcpcb.com/partdetail/PANASONIC-ERJ3EKF4700V/C169259 </t>
  </si>
  <si>
    <t>Orange cells are pre order cells.</t>
  </si>
  <si>
    <t>PCB To Create</t>
  </si>
  <si>
    <t>100Ω Resistor</t>
  </si>
  <si>
    <t>C193336</t>
  </si>
  <si>
    <t>ERJ3EKF1000V</t>
  </si>
  <si>
    <t>https://jlcpcb.com/partdetail/PANASONIC-ERJ3EKF1000V/C193336</t>
  </si>
  <si>
    <t>4.7kΩ Resistor</t>
  </si>
  <si>
    <t>C192166</t>
  </si>
  <si>
    <t>ERJ3EKF4701V</t>
  </si>
  <si>
    <t>https://jlcpcb.com/partdetail/PANASONIC-ERJ3EKF4701V/C192166</t>
  </si>
  <si>
    <t>ERJ3EKF1002V</t>
  </si>
  <si>
    <t>C191124</t>
  </si>
  <si>
    <t>https://jlcpcb.com/partdetail/PANASONIC-ERJ3EKF1002V/C191124</t>
  </si>
  <si>
    <t>ERJ3EKF2000V</t>
  </si>
  <si>
    <t>C403056</t>
  </si>
  <si>
    <t>200Ω Resistor</t>
  </si>
  <si>
    <t>https://jlcpcb.com/partdetail/PANASONIC-ERJ3EKF2000V/C403056</t>
  </si>
  <si>
    <t>ERJ3EKF5232V</t>
  </si>
  <si>
    <t>C403264</t>
  </si>
  <si>
    <t>https://jlcpcb.com/partdetail/PANASONIC-ERJ3EKF5232V/C403264</t>
  </si>
  <si>
    <t>0Ω Resistor</t>
  </si>
  <si>
    <t>52.3kΩ Resistor</t>
  </si>
  <si>
    <t>SKIP</t>
  </si>
  <si>
    <t>5mΩ Resistor</t>
  </si>
  <si>
    <t>C4257075</t>
  </si>
  <si>
    <t>Riedon</t>
  </si>
  <si>
    <t>CSR2512B0R005F</t>
  </si>
  <si>
    <t>https://jlcpcb.com/partdetail/Riedon-CSR2512B0R005F/C4257075</t>
  </si>
  <si>
    <t>HCTL</t>
  </si>
  <si>
    <t>PZ254-2-02-S</t>
  </si>
  <si>
    <t>C3294460</t>
  </si>
  <si>
    <t>Pin Header</t>
  </si>
  <si>
    <t>https://jlcpcb.com/partdetail/HCTL-PZ254_2_02S/C3294460</t>
  </si>
  <si>
    <t>C125091</t>
  </si>
  <si>
    <t>Lite-On</t>
  </si>
  <si>
    <t>LTST-C170KSKT</t>
  </si>
  <si>
    <t>Yellow LED</t>
  </si>
  <si>
    <t>https://jlcpcb.com/partdetail/LiteOn-LTSTC170KSKT/C125091</t>
  </si>
  <si>
    <t>Kingbright</t>
  </si>
  <si>
    <t>APT2012SURCK</t>
  </si>
  <si>
    <t>C5875730</t>
  </si>
  <si>
    <t>Red LED</t>
  </si>
  <si>
    <t>https://jlcpcb.com/partdetail/Kingbright-APT2012SURCK/C5875730</t>
  </si>
  <si>
    <t>APT2012CGCK</t>
  </si>
  <si>
    <t>C5875740</t>
  </si>
  <si>
    <t>Green LED</t>
  </si>
  <si>
    <t>https://jlcpcb.com/partdetail/Kingbright-APT2012CGCK/C5875740</t>
  </si>
  <si>
    <t>High Current Surface Mount Power Inductors</t>
  </si>
  <si>
    <t>DO5010H-223</t>
  </si>
  <si>
    <t>Coilcraft</t>
  </si>
  <si>
    <t>DO5010H-223MLD</t>
  </si>
  <si>
    <t>https://www.coilcraft.com/en-us/products/power/unshielded-inductors/ferrite-drum-surface-mount/do/do5010h/do5010h-223</t>
  </si>
  <si>
    <t>C460806</t>
  </si>
  <si>
    <t>Diodes Incorporated</t>
  </si>
  <si>
    <t>BZX84B30-7-F</t>
  </si>
  <si>
    <t>30V Zener Diode</t>
  </si>
  <si>
    <t>https://jlcpcb.com/partdetail/DiodesIncorporated-BZX84B30_7F/C460806</t>
  </si>
  <si>
    <t>BZT52C5V6-7-F</t>
  </si>
  <si>
    <t>C397930</t>
  </si>
  <si>
    <t>5.6V Zener Diode</t>
  </si>
  <si>
    <t>https://jlcpcb.com/partdetail/DiodesIncorporated-BZT52C5V6_7F/C397930</t>
  </si>
  <si>
    <t>Murata Electronics</t>
  </si>
  <si>
    <t>GCJ32ER71C226KE01L</t>
  </si>
  <si>
    <t>C417134</t>
  </si>
  <si>
    <t>22µF Capacitor</t>
  </si>
  <si>
    <t>https://jlcpcb.com/partdetail/410292-GCJ32ER71C226KE01L/C417134</t>
  </si>
  <si>
    <t>GCM32EC71H106KA03K</t>
  </si>
  <si>
    <t>C2180054</t>
  </si>
  <si>
    <t>10µF Capacitor</t>
  </si>
  <si>
    <t>CGA5L1X7R1V106K160AC</t>
  </si>
  <si>
    <t>TDK</t>
  </si>
  <si>
    <t>C42546209</t>
  </si>
  <si>
    <t>https://jlcpcb.com/partdetail/2272121-GCM32EC71H106KA03K/C2180054</t>
  </si>
  <si>
    <t>https://jlcpcb.com/partdetail/TDK-CGA5L1X7R1V106K160AC/C42546209</t>
  </si>
  <si>
    <t>0.47µF Capacitor</t>
  </si>
  <si>
    <t>GCJ21BR71H474KA12L</t>
  </si>
  <si>
    <t>C441756</t>
  </si>
  <si>
    <t>https://jlcpcb.com/partdetail/442080-GCJ21BR71H474KA12L/C441756</t>
  </si>
  <si>
    <t>330pF Capacitor</t>
  </si>
  <si>
    <t>GCM21A7U2E331JX01D</t>
  </si>
  <si>
    <t>C393691</t>
  </si>
  <si>
    <t>https://jlcpcb.com/partdetail/371982-GCM21A7U2E331JX01D/C393691</t>
  </si>
  <si>
    <t>1µF Capacitor</t>
  </si>
  <si>
    <t>GCJ188R71E105KA01D</t>
  </si>
  <si>
    <t>C908553</t>
  </si>
  <si>
    <t>https://jlcpcb.com/partdetail/975294-GCJ188R71E105KA01D/C908553</t>
  </si>
  <si>
    <t>0.1µF Capacitor</t>
  </si>
  <si>
    <t>GCJ188R71C104KA01D</t>
  </si>
  <si>
    <t>C710619</t>
  </si>
  <si>
    <t>https://jlcpcb.com/partdetail/748891-GCJ188R71C104KA01D/C710619</t>
  </si>
  <si>
    <t>277-1027-ND</t>
  </si>
  <si>
    <t xml:space="preserve">	Phoenix Contact</t>
  </si>
  <si>
    <t>Terminal Block</t>
  </si>
  <si>
    <t>https://www.digikey.com/en/products/detail/phoenix-contact/1711725/260395</t>
  </si>
  <si>
    <t>Parallel Shift Register</t>
  </si>
  <si>
    <t>C406867</t>
  </si>
  <si>
    <t>SN74HC164PWR</t>
  </si>
  <si>
    <t>https://jlcpcb.com/partdetail/TexasInstruments-SN74HC164PWR/C406867</t>
  </si>
  <si>
    <t>SGMICRO</t>
  </si>
  <si>
    <t>SGM61410XN6G/TR</t>
  </si>
  <si>
    <t>C699689</t>
  </si>
  <si>
    <t>DC-DC Converter</t>
  </si>
  <si>
    <t>https://jlcpcb.com/partdetail/SGMICRO-SGM61410XN6GTR/C699689</t>
  </si>
  <si>
    <t>C49851</t>
  </si>
  <si>
    <t>INA226AIDGSR</t>
  </si>
  <si>
    <t>Current Sense Amplifier</t>
  </si>
  <si>
    <t>https://jlcpcb.com/partdetail/TexasInstruments-INA226AIDGSR/C49851</t>
  </si>
  <si>
    <t>BQ34Z100PWR-R2</t>
  </si>
  <si>
    <t>Multichemistry Impedance Track stand-alone Fuel Gauge</t>
  </si>
  <si>
    <t>C7220642</t>
  </si>
  <si>
    <t>https://jlcpcb.com/partdetail/TexasInstruments-BQ34Z100PWRR2/C7220642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</si>
</sst>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4" fontId="0" fillId="3" borderId="1" xfId="1" applyFont="1" applyFill="1" applyBorder="1"/>
    <xf numFmtId="44" fontId="0" fillId="0" borderId="5" xfId="1" applyFont="1" applyBorder="1"/>
    <xf numFmtId="44" fontId="3" fillId="0" borderId="0" xfId="0" applyNumberFormat="1" applyFont="1"/>
    <xf numFmtId="0" fontId="3" fillId="0" borderId="0" xfId="0" applyFont="1"/>
    <xf numFmtId="44" fontId="3" fillId="0" borderId="1" xfId="1" applyFont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0" xfId="0" applyFont="1"/>
    <xf numFmtId="44" fontId="0" fillId="0" borderId="0" xfId="0" applyNumberFormat="1"/>
    <xf numFmtId="0" fontId="2" fillId="4" borderId="1" xfId="2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PANASONIC-ERJ3EKF1002V/C191124" TargetMode="External"/><Relationship Id="rId13" Type="http://schemas.openxmlformats.org/officeDocument/2006/relationships/hyperlink" Target="https://jlcpcb.com/partdetail/LiteOn-LTSTC170KSKT/C125091" TargetMode="External"/><Relationship Id="rId18" Type="http://schemas.openxmlformats.org/officeDocument/2006/relationships/hyperlink" Target="https://jlcpcb.com/partdetail/DiodesIncorporated-BZT52C5V6_7F/C397930" TargetMode="External"/><Relationship Id="rId26" Type="http://schemas.openxmlformats.org/officeDocument/2006/relationships/hyperlink" Target="https://www.digikey.com/en/products/detail/phoenix-contact/1711725/260395" TargetMode="External"/><Relationship Id="rId3" Type="http://schemas.openxmlformats.org/officeDocument/2006/relationships/hyperlink" Target="https://www.digikey.com/en/products/detail/yageo/RL1206FR-070R012L/3885436?s=N4IgTCBcDaIIwGYC0AlAMnMAGAbAMRSSwHYsUtM0AVQgOQBEQBdAXyA" TargetMode="External"/><Relationship Id="rId21" Type="http://schemas.openxmlformats.org/officeDocument/2006/relationships/hyperlink" Target="https://jlcpcb.com/partdetail/TDK-CGA5L1X7R1V106K160AC/C42546209" TargetMode="External"/><Relationship Id="rId7" Type="http://schemas.openxmlformats.org/officeDocument/2006/relationships/hyperlink" Target="https://jlcpcb.com/partdetail/PANASONIC-ERJ3EKF4701V/C192166" TargetMode="External"/><Relationship Id="rId12" Type="http://schemas.openxmlformats.org/officeDocument/2006/relationships/hyperlink" Target="https://jlcpcb.com/partdetail/HCTL-PZ254_2_02S/C3294460" TargetMode="External"/><Relationship Id="rId17" Type="http://schemas.openxmlformats.org/officeDocument/2006/relationships/hyperlink" Target="https://jlcpcb.com/partdetail/DiodesIncorporated-BZX84B30_7F/C460806" TargetMode="External"/><Relationship Id="rId25" Type="http://schemas.openxmlformats.org/officeDocument/2006/relationships/hyperlink" Target="https://jlcpcb.com/partdetail/748891-GCJ188R71C104KA01D/C710619" TargetMode="External"/><Relationship Id="rId2" Type="http://schemas.openxmlformats.org/officeDocument/2006/relationships/hyperlink" Target="https://jlcpcb.com/partdetail/TexasInstruments-TPS7A2033PDBVR/C2862740" TargetMode="External"/><Relationship Id="rId16" Type="http://schemas.openxmlformats.org/officeDocument/2006/relationships/hyperlink" Target="https://www.coilcraft.com/en-us/products/power/unshielded-inductors/ferrite-drum-surface-mount/do/do5010h/do5010h-223" TargetMode="External"/><Relationship Id="rId20" Type="http://schemas.openxmlformats.org/officeDocument/2006/relationships/hyperlink" Target="https://jlcpcb.com/partdetail/2272121-GCM32EC71H106KA03K/C2180054" TargetMode="External"/><Relationship Id="rId29" Type="http://schemas.openxmlformats.org/officeDocument/2006/relationships/hyperlink" Target="https://jlcpcb.com/partdetail/TexasInstruments-INA226AIDGSR/C49851" TargetMode="External"/><Relationship Id="rId1" Type="http://schemas.openxmlformats.org/officeDocument/2006/relationships/hyperlink" Target="https://jlcpcb.com/partdetail/ALPSALPINE-SSSS811101/C109335" TargetMode="External"/><Relationship Id="rId6" Type="http://schemas.openxmlformats.org/officeDocument/2006/relationships/hyperlink" Target="https://jlcpcb.com/partdetail/PANASONIC-ERJ3EKF1000V/C193336" TargetMode="External"/><Relationship Id="rId11" Type="http://schemas.openxmlformats.org/officeDocument/2006/relationships/hyperlink" Target="https://jlcpcb.com/partdetail/Riedon-CSR2512B0R005F/C4257075" TargetMode="External"/><Relationship Id="rId24" Type="http://schemas.openxmlformats.org/officeDocument/2006/relationships/hyperlink" Target="https://jlcpcb.com/partdetail/975294-GCJ188R71E105KA01D/C908553" TargetMode="External"/><Relationship Id="rId5" Type="http://schemas.openxmlformats.org/officeDocument/2006/relationships/hyperlink" Target="https://jlcpcb.com/partdetail/PANASONIC-ERJ3EKF4700V/C169259" TargetMode="External"/><Relationship Id="rId15" Type="http://schemas.openxmlformats.org/officeDocument/2006/relationships/hyperlink" Target="https://jlcpcb.com/partdetail/Kingbright-APT2012CGCK/C5875740" TargetMode="External"/><Relationship Id="rId23" Type="http://schemas.openxmlformats.org/officeDocument/2006/relationships/hyperlink" Target="https://jlcpcb.com/partdetail/371982-GCM21A7U2E331JX01D/C393691" TargetMode="External"/><Relationship Id="rId28" Type="http://schemas.openxmlformats.org/officeDocument/2006/relationships/hyperlink" Target="https://jlcpcb.com/partdetail/SGMICRO-SGM61410XN6GTR/C699689" TargetMode="External"/><Relationship Id="rId10" Type="http://schemas.openxmlformats.org/officeDocument/2006/relationships/hyperlink" Target="https://jlcpcb.com/partdetail/PANASONIC-ERJ3EKF5232V/C403264" TargetMode="External"/><Relationship Id="rId19" Type="http://schemas.openxmlformats.org/officeDocument/2006/relationships/hyperlink" Target="https://jlcpcb.com/partdetail/410292-GCJ32ER71C226KE01L/C417134" TargetMode="External"/><Relationship Id="rId4" Type="http://schemas.openxmlformats.org/officeDocument/2006/relationships/hyperlink" Target="https://jlcpcb.com/partdetail/PANASONIC-ERJ3EKF1001V/C118155" TargetMode="External"/><Relationship Id="rId9" Type="http://schemas.openxmlformats.org/officeDocument/2006/relationships/hyperlink" Target="https://jlcpcb.com/partdetail/PANASONIC-ERJ3EKF2000V/C403056" TargetMode="External"/><Relationship Id="rId14" Type="http://schemas.openxmlformats.org/officeDocument/2006/relationships/hyperlink" Target="https://jlcpcb.com/partdetail/Kingbright-APT2012SURCK/C5875730" TargetMode="External"/><Relationship Id="rId22" Type="http://schemas.openxmlformats.org/officeDocument/2006/relationships/hyperlink" Target="https://jlcpcb.com/partdetail/442080-GCJ21BR71H474KA12L/C441756" TargetMode="External"/><Relationship Id="rId27" Type="http://schemas.openxmlformats.org/officeDocument/2006/relationships/hyperlink" Target="https://jlcpcb.com/partdetail/TexasInstruments-SN74HC164PWR/C406867" TargetMode="External"/><Relationship Id="rId30" Type="http://schemas.openxmlformats.org/officeDocument/2006/relationships/hyperlink" Target="https://jlcpcb.com/partdetail/TexasInstruments-BQ34Z100PWRR2/C7220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AA39-1145-AF43-8726-DB045179E867}">
  <dimension ref="A2:P40"/>
  <sheetViews>
    <sheetView tabSelected="1" topLeftCell="A16" workbookViewId="0">
      <selection activeCell="I40" sqref="I40"/>
    </sheetView>
  </sheetViews>
  <sheetFormatPr baseColWidth="10" defaultRowHeight="16" x14ac:dyDescent="0.2"/>
  <cols>
    <col min="1" max="1" width="12.83203125" bestFit="1" customWidth="1"/>
    <col min="10" max="11" width="23" customWidth="1"/>
    <col min="13" max="13" width="26.33203125" bestFit="1" customWidth="1"/>
    <col min="16" max="16" width="133" bestFit="1" customWidth="1"/>
  </cols>
  <sheetData>
    <row r="2" spans="1:16" x14ac:dyDescent="0.2">
      <c r="P2" s="33" t="s">
        <v>51</v>
      </c>
    </row>
    <row r="3" spans="1:16" ht="64" x14ac:dyDescent="0.2">
      <c r="A3" s="30" t="s">
        <v>52</v>
      </c>
      <c r="B3" s="1" t="s">
        <v>0</v>
      </c>
      <c r="C3" s="1" t="s">
        <v>1</v>
      </c>
      <c r="D3" s="8" t="s">
        <v>2</v>
      </c>
      <c r="E3" s="8"/>
      <c r="F3" s="8"/>
      <c r="G3" s="8"/>
      <c r="H3" s="8"/>
      <c r="I3" s="8"/>
      <c r="J3" s="1" t="s">
        <v>9</v>
      </c>
      <c r="K3" s="1" t="s">
        <v>22</v>
      </c>
      <c r="L3" s="1" t="s">
        <v>15</v>
      </c>
      <c r="M3" s="1" t="s">
        <v>21</v>
      </c>
      <c r="N3" s="1" t="s">
        <v>18</v>
      </c>
      <c r="O3" s="1" t="s">
        <v>3</v>
      </c>
      <c r="P3" s="1" t="s">
        <v>4</v>
      </c>
    </row>
    <row r="4" spans="1:16" ht="17" x14ac:dyDescent="0.2">
      <c r="A4" s="30">
        <v>5</v>
      </c>
      <c r="B4" s="23">
        <f>1*$A$4</f>
        <v>5</v>
      </c>
      <c r="C4" s="18" t="s">
        <v>12</v>
      </c>
      <c r="D4" s="14" t="s">
        <v>13</v>
      </c>
      <c r="E4" s="15"/>
      <c r="F4" s="15"/>
      <c r="G4" s="15"/>
      <c r="H4" s="15"/>
      <c r="I4" s="16"/>
      <c r="J4" s="17" t="s">
        <v>14</v>
      </c>
      <c r="K4" s="17" t="s">
        <v>16</v>
      </c>
      <c r="L4" s="17" t="s">
        <v>16</v>
      </c>
      <c r="M4" s="18" t="s">
        <v>14</v>
      </c>
      <c r="N4" s="24">
        <f>31.65/5</f>
        <v>6.33</v>
      </c>
      <c r="O4" s="25">
        <f t="shared" ref="O4:O16" si="0">N4*B4</f>
        <v>31.65</v>
      </c>
      <c r="P4" s="26" t="s">
        <v>17</v>
      </c>
    </row>
    <row r="5" spans="1:16" ht="17" x14ac:dyDescent="0.2">
      <c r="B5" s="23">
        <f t="shared" ref="B5:B9" si="1">1*$A$4</f>
        <v>5</v>
      </c>
      <c r="C5" s="18" t="s">
        <v>12</v>
      </c>
      <c r="D5" s="14" t="s">
        <v>30</v>
      </c>
      <c r="E5" s="15"/>
      <c r="F5" s="15"/>
      <c r="G5" s="15"/>
      <c r="H5" s="15"/>
      <c r="I5" s="16"/>
      <c r="J5" s="17" t="s">
        <v>20</v>
      </c>
      <c r="K5" s="17" t="s">
        <v>23</v>
      </c>
      <c r="L5" s="17" t="s">
        <v>16</v>
      </c>
      <c r="M5" s="18" t="s">
        <v>19</v>
      </c>
      <c r="N5" s="24">
        <v>0.1356</v>
      </c>
      <c r="O5" s="25">
        <f t="shared" si="0"/>
        <v>0.67799999999999994</v>
      </c>
      <c r="P5" s="27" t="s">
        <v>33</v>
      </c>
    </row>
    <row r="6" spans="1:16" ht="17" x14ac:dyDescent="0.2">
      <c r="B6" s="23">
        <f t="shared" si="1"/>
        <v>5</v>
      </c>
      <c r="C6" s="18" t="s">
        <v>12</v>
      </c>
      <c r="D6" s="14" t="s">
        <v>31</v>
      </c>
      <c r="E6" s="15"/>
      <c r="F6" s="15"/>
      <c r="G6" s="15"/>
      <c r="H6" s="15"/>
      <c r="I6" s="16"/>
      <c r="J6" s="17" t="s">
        <v>26</v>
      </c>
      <c r="K6" s="17" t="s">
        <v>25</v>
      </c>
      <c r="L6" s="17" t="s">
        <v>16</v>
      </c>
      <c r="M6" s="18" t="s">
        <v>24</v>
      </c>
      <c r="N6" s="24">
        <v>0.14360000000000001</v>
      </c>
      <c r="O6" s="25">
        <f t="shared" si="0"/>
        <v>0.71799999999999997</v>
      </c>
      <c r="P6" s="27" t="s">
        <v>32</v>
      </c>
    </row>
    <row r="7" spans="1:16" ht="17" x14ac:dyDescent="0.2">
      <c r="B7" s="23">
        <f t="shared" si="1"/>
        <v>5</v>
      </c>
      <c r="C7" s="18" t="s">
        <v>12</v>
      </c>
      <c r="D7" s="14" t="s">
        <v>35</v>
      </c>
      <c r="E7" s="15"/>
      <c r="F7" s="15"/>
      <c r="G7" s="15"/>
      <c r="H7" s="15"/>
      <c r="I7" s="16"/>
      <c r="J7" s="17" t="s">
        <v>27</v>
      </c>
      <c r="K7" s="17" t="s">
        <v>28</v>
      </c>
      <c r="L7" s="17" t="s">
        <v>16</v>
      </c>
      <c r="M7" s="18" t="s">
        <v>29</v>
      </c>
      <c r="N7" s="24">
        <v>3.6200000000000003E-2</v>
      </c>
      <c r="O7" s="25">
        <f t="shared" si="0"/>
        <v>0.18100000000000002</v>
      </c>
      <c r="P7" s="27" t="s">
        <v>34</v>
      </c>
    </row>
    <row r="8" spans="1:16" ht="17" x14ac:dyDescent="0.2">
      <c r="B8" s="23">
        <f t="shared" si="1"/>
        <v>5</v>
      </c>
      <c r="C8" s="18" t="s">
        <v>12</v>
      </c>
      <c r="D8" s="14" t="s">
        <v>36</v>
      </c>
      <c r="E8" s="15"/>
      <c r="F8" s="15"/>
      <c r="G8" s="15"/>
      <c r="H8" s="15"/>
      <c r="I8" s="16"/>
      <c r="J8" s="17" t="s">
        <v>38</v>
      </c>
      <c r="K8" s="17" t="s">
        <v>37</v>
      </c>
      <c r="L8" s="17" t="s">
        <v>39</v>
      </c>
      <c r="M8" s="18" t="s">
        <v>40</v>
      </c>
      <c r="N8" s="24">
        <v>0.45</v>
      </c>
      <c r="O8" s="25">
        <f t="shared" si="0"/>
        <v>2.25</v>
      </c>
      <c r="P8" s="27" t="s">
        <v>41</v>
      </c>
    </row>
    <row r="9" spans="1:16" ht="17" x14ac:dyDescent="0.2">
      <c r="B9" s="23">
        <f t="shared" si="1"/>
        <v>5</v>
      </c>
      <c r="C9" s="18" t="s">
        <v>12</v>
      </c>
      <c r="D9" s="14" t="s">
        <v>42</v>
      </c>
      <c r="E9" s="15"/>
      <c r="F9" s="15"/>
      <c r="G9" s="15"/>
      <c r="H9" s="15"/>
      <c r="I9" s="16"/>
      <c r="J9" s="17" t="s">
        <v>44</v>
      </c>
      <c r="K9" s="17" t="s">
        <v>28</v>
      </c>
      <c r="L9" s="17" t="s">
        <v>16</v>
      </c>
      <c r="M9" s="18" t="s">
        <v>43</v>
      </c>
      <c r="N9" s="24">
        <v>5.3E-3</v>
      </c>
      <c r="O9" s="25">
        <f t="shared" si="0"/>
        <v>2.6499999999999999E-2</v>
      </c>
      <c r="P9" s="27" t="s">
        <v>45</v>
      </c>
    </row>
    <row r="10" spans="1:16" ht="17" x14ac:dyDescent="0.2">
      <c r="B10" s="23">
        <f>5*$A$4</f>
        <v>25</v>
      </c>
      <c r="C10" s="18" t="s">
        <v>12</v>
      </c>
      <c r="D10" s="14" t="s">
        <v>47</v>
      </c>
      <c r="E10" s="15"/>
      <c r="F10" s="15"/>
      <c r="G10" s="15"/>
      <c r="H10" s="15"/>
      <c r="I10" s="16"/>
      <c r="J10" s="17" t="s">
        <v>49</v>
      </c>
      <c r="K10" s="17" t="s">
        <v>28</v>
      </c>
      <c r="L10" s="17" t="s">
        <v>16</v>
      </c>
      <c r="M10" s="18" t="s">
        <v>48</v>
      </c>
      <c r="N10" s="24">
        <v>5.1000000000000004E-3</v>
      </c>
      <c r="O10" s="25">
        <f t="shared" si="0"/>
        <v>0.1275</v>
      </c>
      <c r="P10" s="32" t="s">
        <v>50</v>
      </c>
    </row>
    <row r="11" spans="1:16" ht="17" x14ac:dyDescent="0.2">
      <c r="B11" s="23">
        <f>8*$A$4</f>
        <v>40</v>
      </c>
      <c r="C11" s="18" t="s">
        <v>12</v>
      </c>
      <c r="D11" s="14" t="s">
        <v>53</v>
      </c>
      <c r="E11" s="15"/>
      <c r="F11" s="15"/>
      <c r="G11" s="15"/>
      <c r="H11" s="15"/>
      <c r="I11" s="16"/>
      <c r="J11" s="17" t="s">
        <v>55</v>
      </c>
      <c r="K11" s="17" t="s">
        <v>28</v>
      </c>
      <c r="L11" s="17" t="s">
        <v>16</v>
      </c>
      <c r="M11" s="18" t="s">
        <v>54</v>
      </c>
      <c r="N11" s="24">
        <v>5.4999999999999997E-3</v>
      </c>
      <c r="O11" s="25">
        <f t="shared" si="0"/>
        <v>0.21999999999999997</v>
      </c>
      <c r="P11" s="27" t="s">
        <v>56</v>
      </c>
    </row>
    <row r="12" spans="1:16" ht="17" x14ac:dyDescent="0.2">
      <c r="B12" s="23">
        <f>3*$A$4</f>
        <v>15</v>
      </c>
      <c r="C12" s="18" t="s">
        <v>12</v>
      </c>
      <c r="D12" s="19" t="s">
        <v>57</v>
      </c>
      <c r="E12" s="20"/>
      <c r="F12" s="20"/>
      <c r="G12" s="20"/>
      <c r="H12" s="20"/>
      <c r="I12" s="21"/>
      <c r="J12" s="17" t="s">
        <v>59</v>
      </c>
      <c r="K12" s="22" t="s">
        <v>28</v>
      </c>
      <c r="L12" s="22" t="s">
        <v>16</v>
      </c>
      <c r="M12" s="18" t="s">
        <v>58</v>
      </c>
      <c r="N12" s="24">
        <v>4.5999999999999999E-3</v>
      </c>
      <c r="O12" s="25">
        <f t="shared" si="0"/>
        <v>6.9000000000000006E-2</v>
      </c>
      <c r="P12" s="27" t="s">
        <v>60</v>
      </c>
    </row>
    <row r="13" spans="1:16" x14ac:dyDescent="0.2">
      <c r="B13" s="23">
        <f>1*$A$4</f>
        <v>5</v>
      </c>
      <c r="C13" s="18" t="s">
        <v>12</v>
      </c>
      <c r="D13" s="19" t="s">
        <v>35</v>
      </c>
      <c r="E13" s="20"/>
      <c r="F13" s="20"/>
      <c r="G13" s="20"/>
      <c r="H13" s="20"/>
      <c r="I13" s="21"/>
      <c r="J13" s="22" t="s">
        <v>61</v>
      </c>
      <c r="K13" s="22" t="s">
        <v>28</v>
      </c>
      <c r="L13" s="22" t="s">
        <v>16</v>
      </c>
      <c r="M13" s="18" t="s">
        <v>62</v>
      </c>
      <c r="N13" s="24">
        <v>6.0000000000000001E-3</v>
      </c>
      <c r="O13" s="25">
        <f t="shared" si="0"/>
        <v>0.03</v>
      </c>
      <c r="P13" s="27" t="s">
        <v>63</v>
      </c>
    </row>
    <row r="14" spans="1:16" ht="17" x14ac:dyDescent="0.2">
      <c r="B14" s="23">
        <f>1*$A$4</f>
        <v>5</v>
      </c>
      <c r="C14" s="18" t="s">
        <v>12</v>
      </c>
      <c r="D14" s="19" t="s">
        <v>66</v>
      </c>
      <c r="E14" s="20"/>
      <c r="F14" s="20"/>
      <c r="G14" s="20"/>
      <c r="H14" s="20"/>
      <c r="I14" s="21"/>
      <c r="J14" s="17" t="s">
        <v>64</v>
      </c>
      <c r="K14" s="22" t="s">
        <v>28</v>
      </c>
      <c r="L14" s="22" t="s">
        <v>16</v>
      </c>
      <c r="M14" s="18" t="s">
        <v>65</v>
      </c>
      <c r="N14" s="24">
        <v>5.1000000000000004E-3</v>
      </c>
      <c r="O14" s="25">
        <f t="shared" si="0"/>
        <v>2.5500000000000002E-2</v>
      </c>
      <c r="P14" s="27" t="s">
        <v>67</v>
      </c>
    </row>
    <row r="15" spans="1:16" x14ac:dyDescent="0.2">
      <c r="B15" s="23">
        <f>1*$A$4</f>
        <v>5</v>
      </c>
      <c r="C15" s="18" t="s">
        <v>12</v>
      </c>
      <c r="D15" s="19" t="s">
        <v>72</v>
      </c>
      <c r="E15" s="20"/>
      <c r="F15" s="20"/>
      <c r="G15" s="20"/>
      <c r="H15" s="20"/>
      <c r="I15" s="21"/>
      <c r="J15" s="22" t="s">
        <v>68</v>
      </c>
      <c r="K15" s="22" t="s">
        <v>28</v>
      </c>
      <c r="L15" s="22" t="s">
        <v>16</v>
      </c>
      <c r="M15" s="18" t="s">
        <v>69</v>
      </c>
      <c r="N15" s="24">
        <v>4.7999999999999996E-3</v>
      </c>
      <c r="O15" s="25">
        <f t="shared" si="0"/>
        <v>2.3999999999999997E-2</v>
      </c>
      <c r="P15" s="27" t="s">
        <v>70</v>
      </c>
    </row>
    <row r="16" spans="1:16" x14ac:dyDescent="0.2">
      <c r="B16" s="23">
        <v>0</v>
      </c>
      <c r="C16" s="18" t="s">
        <v>12</v>
      </c>
      <c r="D16" s="19" t="s">
        <v>71</v>
      </c>
      <c r="E16" s="20"/>
      <c r="F16" s="20"/>
      <c r="G16" s="20"/>
      <c r="H16" s="20"/>
      <c r="I16" s="21"/>
      <c r="J16" s="22" t="s">
        <v>73</v>
      </c>
      <c r="K16" s="22" t="s">
        <v>73</v>
      </c>
      <c r="L16" s="22" t="s">
        <v>73</v>
      </c>
      <c r="M16" s="18" t="s">
        <v>73</v>
      </c>
      <c r="N16" s="24">
        <v>0</v>
      </c>
      <c r="O16" s="25">
        <f t="shared" si="0"/>
        <v>0</v>
      </c>
      <c r="P16" s="18" t="s">
        <v>73</v>
      </c>
    </row>
    <row r="17" spans="2:16" ht="17" x14ac:dyDescent="0.2">
      <c r="B17" s="23">
        <f>1*$A$4</f>
        <v>5</v>
      </c>
      <c r="C17" s="18" t="s">
        <v>12</v>
      </c>
      <c r="D17" s="14" t="s">
        <v>74</v>
      </c>
      <c r="E17" s="15"/>
      <c r="F17" s="15"/>
      <c r="G17" s="15"/>
      <c r="H17" s="15"/>
      <c r="I17" s="16"/>
      <c r="J17" s="17" t="s">
        <v>77</v>
      </c>
      <c r="K17" s="17" t="s">
        <v>76</v>
      </c>
      <c r="L17" s="17" t="s">
        <v>16</v>
      </c>
      <c r="M17" s="34" t="s">
        <v>75</v>
      </c>
      <c r="N17" s="24">
        <v>0.21560000000000001</v>
      </c>
      <c r="O17" s="25">
        <f t="shared" ref="O17:O30" si="2">N17*B17</f>
        <v>1.0780000000000001</v>
      </c>
      <c r="P17" s="32" t="s">
        <v>78</v>
      </c>
    </row>
    <row r="18" spans="2:16" ht="17" x14ac:dyDescent="0.2">
      <c r="B18" s="23">
        <f>2*$A$4</f>
        <v>10</v>
      </c>
      <c r="C18" s="18" t="s">
        <v>12</v>
      </c>
      <c r="D18" s="14" t="s">
        <v>82</v>
      </c>
      <c r="E18" s="15"/>
      <c r="F18" s="15"/>
      <c r="G18" s="15"/>
      <c r="H18" s="15"/>
      <c r="I18" s="16"/>
      <c r="J18" s="17" t="s">
        <v>80</v>
      </c>
      <c r="K18" s="17" t="s">
        <v>79</v>
      </c>
      <c r="L18" s="17" t="s">
        <v>16</v>
      </c>
      <c r="M18" s="18" t="s">
        <v>81</v>
      </c>
      <c r="N18" s="24">
        <v>4.2500000000000003E-2</v>
      </c>
      <c r="O18" s="25">
        <f t="shared" si="2"/>
        <v>0.42500000000000004</v>
      </c>
      <c r="P18" s="27" t="s">
        <v>83</v>
      </c>
    </row>
    <row r="19" spans="2:16" ht="17" x14ac:dyDescent="0.2">
      <c r="B19" s="23">
        <f>2*$A$4</f>
        <v>10</v>
      </c>
      <c r="C19" s="18" t="s">
        <v>12</v>
      </c>
      <c r="D19" s="19" t="s">
        <v>87</v>
      </c>
      <c r="E19" s="20"/>
      <c r="F19" s="20"/>
      <c r="G19" s="20"/>
      <c r="H19" s="20"/>
      <c r="I19" s="21"/>
      <c r="J19" s="22" t="s">
        <v>86</v>
      </c>
      <c r="K19" s="22" t="s">
        <v>85</v>
      </c>
      <c r="L19" s="22" t="s">
        <v>16</v>
      </c>
      <c r="M19" s="34" t="s">
        <v>84</v>
      </c>
      <c r="N19" s="24">
        <v>2.1600000000000001E-2</v>
      </c>
      <c r="O19" s="25">
        <f t="shared" si="2"/>
        <v>0.21600000000000003</v>
      </c>
      <c r="P19" s="27" t="s">
        <v>88</v>
      </c>
    </row>
    <row r="20" spans="2:16" x14ac:dyDescent="0.2">
      <c r="B20" s="23">
        <f>1*$A$4</f>
        <v>5</v>
      </c>
      <c r="C20" s="18" t="s">
        <v>12</v>
      </c>
      <c r="D20" s="19" t="s">
        <v>92</v>
      </c>
      <c r="E20" s="20"/>
      <c r="F20" s="20"/>
      <c r="G20" s="20"/>
      <c r="H20" s="20"/>
      <c r="I20" s="21"/>
      <c r="J20" s="22" t="s">
        <v>90</v>
      </c>
      <c r="K20" s="22" t="s">
        <v>89</v>
      </c>
      <c r="L20" s="22" t="s">
        <v>16</v>
      </c>
      <c r="M20" s="18" t="s">
        <v>91</v>
      </c>
      <c r="N20" s="24">
        <v>0.113</v>
      </c>
      <c r="O20" s="25">
        <f t="shared" si="2"/>
        <v>0.56500000000000006</v>
      </c>
      <c r="P20" s="27" t="s">
        <v>93</v>
      </c>
    </row>
    <row r="21" spans="2:16" ht="17" x14ac:dyDescent="0.2">
      <c r="B21" s="23">
        <f>2*$A$4</f>
        <v>10</v>
      </c>
      <c r="C21" s="18" t="s">
        <v>12</v>
      </c>
      <c r="D21" s="19" t="s">
        <v>96</v>
      </c>
      <c r="E21" s="20"/>
      <c r="F21" s="20"/>
      <c r="G21" s="20"/>
      <c r="H21" s="20"/>
      <c r="I21" s="21"/>
      <c r="J21" s="17" t="s">
        <v>94</v>
      </c>
      <c r="K21" s="22" t="s">
        <v>89</v>
      </c>
      <c r="L21" s="22" t="s">
        <v>16</v>
      </c>
      <c r="M21" s="18" t="s">
        <v>95</v>
      </c>
      <c r="N21" s="24">
        <v>0.1148</v>
      </c>
      <c r="O21" s="25">
        <f t="shared" si="2"/>
        <v>1.1479999999999999</v>
      </c>
      <c r="P21" s="27" t="s">
        <v>97</v>
      </c>
    </row>
    <row r="22" spans="2:16" x14ac:dyDescent="0.2">
      <c r="B22" s="23">
        <f>1*$A$4</f>
        <v>5</v>
      </c>
      <c r="C22" s="18" t="s">
        <v>12</v>
      </c>
      <c r="D22" s="19" t="s">
        <v>98</v>
      </c>
      <c r="E22" s="20"/>
      <c r="F22" s="20"/>
      <c r="G22" s="20"/>
      <c r="H22" s="20"/>
      <c r="I22" s="21"/>
      <c r="J22" s="22" t="s">
        <v>99</v>
      </c>
      <c r="K22" s="22" t="s">
        <v>100</v>
      </c>
      <c r="L22" s="22" t="s">
        <v>100</v>
      </c>
      <c r="M22" s="18" t="s">
        <v>101</v>
      </c>
      <c r="N22" s="24">
        <v>2.2200000000000002</v>
      </c>
      <c r="O22" s="25">
        <f t="shared" si="2"/>
        <v>11.100000000000001</v>
      </c>
      <c r="P22" s="27" t="s">
        <v>102</v>
      </c>
    </row>
    <row r="23" spans="2:16" ht="17" x14ac:dyDescent="0.2">
      <c r="B23" s="23">
        <f>1*$A$4</f>
        <v>5</v>
      </c>
      <c r="C23" s="18" t="s">
        <v>12</v>
      </c>
      <c r="D23" s="19" t="s">
        <v>106</v>
      </c>
      <c r="E23" s="20"/>
      <c r="F23" s="20"/>
      <c r="G23" s="20"/>
      <c r="H23" s="20"/>
      <c r="I23" s="21"/>
      <c r="J23" s="17" t="s">
        <v>105</v>
      </c>
      <c r="K23" s="17" t="s">
        <v>104</v>
      </c>
      <c r="L23" s="22" t="s">
        <v>16</v>
      </c>
      <c r="M23" s="18" t="s">
        <v>103</v>
      </c>
      <c r="N23" s="24">
        <v>3.7100000000000001E-2</v>
      </c>
      <c r="O23" s="25">
        <f t="shared" si="2"/>
        <v>0.1855</v>
      </c>
      <c r="P23" s="27" t="s">
        <v>107</v>
      </c>
    </row>
    <row r="24" spans="2:16" ht="17" x14ac:dyDescent="0.2">
      <c r="B24" s="23">
        <f>3*$A$4</f>
        <v>15</v>
      </c>
      <c r="C24" s="18" t="s">
        <v>12</v>
      </c>
      <c r="D24" s="14" t="s">
        <v>110</v>
      </c>
      <c r="E24" s="15"/>
      <c r="F24" s="15"/>
      <c r="G24" s="15"/>
      <c r="H24" s="15"/>
      <c r="I24" s="16"/>
      <c r="J24" s="17" t="s">
        <v>108</v>
      </c>
      <c r="K24" s="17" t="s">
        <v>104</v>
      </c>
      <c r="L24" s="17" t="s">
        <v>16</v>
      </c>
      <c r="M24" s="18" t="s">
        <v>109</v>
      </c>
      <c r="N24" s="24">
        <v>2.9100000000000001E-2</v>
      </c>
      <c r="O24" s="25">
        <f t="shared" si="2"/>
        <v>0.4365</v>
      </c>
      <c r="P24" s="27" t="s">
        <v>111</v>
      </c>
    </row>
    <row r="25" spans="2:16" ht="17" x14ac:dyDescent="0.2">
      <c r="B25" s="23">
        <f>1*$A$4</f>
        <v>5</v>
      </c>
      <c r="C25" s="18" t="s">
        <v>12</v>
      </c>
      <c r="D25" s="14" t="s">
        <v>115</v>
      </c>
      <c r="E25" s="15"/>
      <c r="F25" s="15"/>
      <c r="G25" s="15"/>
      <c r="H25" s="15"/>
      <c r="I25" s="16"/>
      <c r="J25" s="17" t="s">
        <v>113</v>
      </c>
      <c r="K25" s="17" t="s">
        <v>112</v>
      </c>
      <c r="L25" s="17" t="s">
        <v>16</v>
      </c>
      <c r="M25" s="18" t="s">
        <v>114</v>
      </c>
      <c r="N25" s="24">
        <v>0.62549999999999994</v>
      </c>
      <c r="O25" s="25">
        <f t="shared" si="2"/>
        <v>3.1274999999999995</v>
      </c>
      <c r="P25" s="27" t="s">
        <v>116</v>
      </c>
    </row>
    <row r="26" spans="2:16" ht="17" x14ac:dyDescent="0.2">
      <c r="B26" s="23">
        <f t="shared" ref="B26:B42" si="3">1*$A$4</f>
        <v>5</v>
      </c>
      <c r="C26" s="18" t="s">
        <v>12</v>
      </c>
      <c r="D26" s="19" t="s">
        <v>119</v>
      </c>
      <c r="E26" s="20"/>
      <c r="F26" s="20"/>
      <c r="G26" s="20"/>
      <c r="H26" s="20"/>
      <c r="I26" s="21"/>
      <c r="J26" s="17" t="s">
        <v>117</v>
      </c>
      <c r="K26" s="22" t="s">
        <v>112</v>
      </c>
      <c r="L26" s="22" t="s">
        <v>16</v>
      </c>
      <c r="M26" s="18" t="s">
        <v>118</v>
      </c>
      <c r="N26" s="24">
        <v>0.27739999999999998</v>
      </c>
      <c r="O26" s="25">
        <f t="shared" si="2"/>
        <v>1.387</v>
      </c>
      <c r="P26" s="27" t="s">
        <v>123</v>
      </c>
    </row>
    <row r="27" spans="2:16" x14ac:dyDescent="0.2">
      <c r="B27" s="23">
        <f>2*$A$4</f>
        <v>10</v>
      </c>
      <c r="C27" s="18" t="s">
        <v>12</v>
      </c>
      <c r="D27" s="19" t="s">
        <v>119</v>
      </c>
      <c r="E27" s="20"/>
      <c r="F27" s="20"/>
      <c r="G27" s="20"/>
      <c r="H27" s="20"/>
      <c r="I27" s="21"/>
      <c r="J27" s="22" t="s">
        <v>120</v>
      </c>
      <c r="K27" s="22" t="s">
        <v>121</v>
      </c>
      <c r="L27" s="22" t="s">
        <v>16</v>
      </c>
      <c r="M27" s="18" t="s">
        <v>122</v>
      </c>
      <c r="N27" s="24">
        <v>0.15770000000000001</v>
      </c>
      <c r="O27" s="25">
        <f t="shared" si="2"/>
        <v>1.577</v>
      </c>
      <c r="P27" s="32" t="s">
        <v>124</v>
      </c>
    </row>
    <row r="28" spans="2:16" ht="17" x14ac:dyDescent="0.2">
      <c r="B28" s="23">
        <f t="shared" si="3"/>
        <v>5</v>
      </c>
      <c r="C28" s="18" t="s">
        <v>12</v>
      </c>
      <c r="D28" s="19" t="s">
        <v>125</v>
      </c>
      <c r="E28" s="20"/>
      <c r="F28" s="20"/>
      <c r="G28" s="20"/>
      <c r="H28" s="20"/>
      <c r="I28" s="21"/>
      <c r="J28" s="17" t="s">
        <v>126</v>
      </c>
      <c r="K28" s="22" t="s">
        <v>112</v>
      </c>
      <c r="L28" s="22" t="s">
        <v>16</v>
      </c>
      <c r="M28" s="18" t="s">
        <v>127</v>
      </c>
      <c r="N28" s="24">
        <v>4.1000000000000002E-2</v>
      </c>
      <c r="O28" s="25">
        <f t="shared" si="2"/>
        <v>0.20500000000000002</v>
      </c>
      <c r="P28" s="27" t="s">
        <v>128</v>
      </c>
    </row>
    <row r="29" spans="2:16" x14ac:dyDescent="0.2">
      <c r="B29" s="23">
        <f t="shared" si="3"/>
        <v>5</v>
      </c>
      <c r="C29" s="18" t="s">
        <v>12</v>
      </c>
      <c r="D29" s="19" t="s">
        <v>129</v>
      </c>
      <c r="E29" s="20"/>
      <c r="F29" s="20"/>
      <c r="G29" s="20"/>
      <c r="H29" s="20"/>
      <c r="I29" s="21"/>
      <c r="J29" s="22" t="s">
        <v>130</v>
      </c>
      <c r="K29" s="22" t="s">
        <v>112</v>
      </c>
      <c r="L29" s="22" t="s">
        <v>16</v>
      </c>
      <c r="M29" s="18" t="s">
        <v>131</v>
      </c>
      <c r="N29" s="24">
        <v>3.5299999999999998E-2</v>
      </c>
      <c r="O29" s="25">
        <f t="shared" si="2"/>
        <v>0.17649999999999999</v>
      </c>
      <c r="P29" s="32" t="s">
        <v>132</v>
      </c>
    </row>
    <row r="30" spans="2:16" ht="17" x14ac:dyDescent="0.2">
      <c r="B30" s="23">
        <f t="shared" si="3"/>
        <v>5</v>
      </c>
      <c r="C30" s="18" t="s">
        <v>12</v>
      </c>
      <c r="D30" s="19" t="s">
        <v>133</v>
      </c>
      <c r="E30" s="20"/>
      <c r="F30" s="20"/>
      <c r="G30" s="20"/>
      <c r="H30" s="20"/>
      <c r="I30" s="21"/>
      <c r="J30" s="17" t="s">
        <v>134</v>
      </c>
      <c r="K30" s="22" t="s">
        <v>112</v>
      </c>
      <c r="L30" s="22" t="s">
        <v>16</v>
      </c>
      <c r="M30" s="18" t="s">
        <v>135</v>
      </c>
      <c r="N30" s="24">
        <v>4.8500000000000001E-2</v>
      </c>
      <c r="O30" s="25">
        <f t="shared" si="2"/>
        <v>0.24249999999999999</v>
      </c>
      <c r="P30" s="27" t="s">
        <v>136</v>
      </c>
    </row>
    <row r="31" spans="2:16" ht="17" x14ac:dyDescent="0.2">
      <c r="B31" s="23">
        <f>7*$A$4</f>
        <v>35</v>
      </c>
      <c r="C31" s="18" t="s">
        <v>12</v>
      </c>
      <c r="D31" s="14" t="s">
        <v>137</v>
      </c>
      <c r="E31" s="15"/>
      <c r="F31" s="15"/>
      <c r="G31" s="15"/>
      <c r="H31" s="15"/>
      <c r="I31" s="16"/>
      <c r="J31" s="17" t="s">
        <v>138</v>
      </c>
      <c r="K31" s="17" t="s">
        <v>112</v>
      </c>
      <c r="L31" s="17" t="s">
        <v>16</v>
      </c>
      <c r="M31" s="18" t="s">
        <v>139</v>
      </c>
      <c r="N31" s="24">
        <v>3.4099999999999998E-2</v>
      </c>
      <c r="O31" s="25">
        <f t="shared" ref="O31:O42" si="4">N31*B31</f>
        <v>1.1935</v>
      </c>
      <c r="P31" s="27" t="s">
        <v>140</v>
      </c>
    </row>
    <row r="32" spans="2:16" ht="17" x14ac:dyDescent="0.2">
      <c r="B32" s="23">
        <f>2*$A$4</f>
        <v>10</v>
      </c>
      <c r="C32" s="18" t="s">
        <v>12</v>
      </c>
      <c r="D32" s="19" t="s">
        <v>143</v>
      </c>
      <c r="E32" s="20"/>
      <c r="F32" s="20"/>
      <c r="G32" s="20"/>
      <c r="H32" s="20"/>
      <c r="I32" s="21"/>
      <c r="J32" s="22">
        <v>1711725</v>
      </c>
      <c r="K32" s="17" t="s">
        <v>142</v>
      </c>
      <c r="L32" s="22" t="s">
        <v>39</v>
      </c>
      <c r="M32" s="18" t="s">
        <v>141</v>
      </c>
      <c r="N32" s="24">
        <v>1.6879999999999999</v>
      </c>
      <c r="O32" s="25">
        <f t="shared" si="4"/>
        <v>16.88</v>
      </c>
      <c r="P32" s="27" t="s">
        <v>144</v>
      </c>
    </row>
    <row r="33" spans="2:16" ht="17" x14ac:dyDescent="0.2">
      <c r="B33" s="23">
        <f t="shared" si="3"/>
        <v>5</v>
      </c>
      <c r="C33" s="18" t="s">
        <v>12</v>
      </c>
      <c r="D33" s="19" t="s">
        <v>145</v>
      </c>
      <c r="E33" s="20"/>
      <c r="F33" s="20"/>
      <c r="G33" s="20"/>
      <c r="H33" s="20"/>
      <c r="I33" s="21"/>
      <c r="J33" s="22" t="s">
        <v>147</v>
      </c>
      <c r="K33" s="17" t="s">
        <v>25</v>
      </c>
      <c r="L33" s="22" t="s">
        <v>16</v>
      </c>
      <c r="M33" s="18" t="s">
        <v>146</v>
      </c>
      <c r="N33" s="24">
        <v>0.15049999999999999</v>
      </c>
      <c r="O33" s="25">
        <f t="shared" si="4"/>
        <v>0.75249999999999995</v>
      </c>
      <c r="P33" s="27" t="s">
        <v>148</v>
      </c>
    </row>
    <row r="34" spans="2:16" x14ac:dyDescent="0.2">
      <c r="B34" s="23">
        <f t="shared" si="3"/>
        <v>5</v>
      </c>
      <c r="C34" s="18" t="s">
        <v>12</v>
      </c>
      <c r="D34" s="19" t="s">
        <v>152</v>
      </c>
      <c r="E34" s="20"/>
      <c r="F34" s="20"/>
      <c r="G34" s="20"/>
      <c r="H34" s="20"/>
      <c r="I34" s="21"/>
      <c r="J34" s="22" t="s">
        <v>150</v>
      </c>
      <c r="K34" s="22" t="s">
        <v>149</v>
      </c>
      <c r="L34" s="22" t="s">
        <v>16</v>
      </c>
      <c r="M34" s="18" t="s">
        <v>151</v>
      </c>
      <c r="N34" s="24">
        <v>1.4145000000000001</v>
      </c>
      <c r="O34" s="25">
        <f t="shared" si="4"/>
        <v>7.0725000000000007</v>
      </c>
      <c r="P34" s="27" t="s">
        <v>153</v>
      </c>
    </row>
    <row r="35" spans="2:16" x14ac:dyDescent="0.2">
      <c r="B35" s="23">
        <f t="shared" si="3"/>
        <v>5</v>
      </c>
      <c r="C35" s="18" t="s">
        <v>12</v>
      </c>
      <c r="D35" s="19" t="s">
        <v>156</v>
      </c>
      <c r="E35" s="20"/>
      <c r="F35" s="20"/>
      <c r="G35" s="20"/>
      <c r="H35" s="20"/>
      <c r="I35" s="21"/>
      <c r="J35" s="22" t="s">
        <v>155</v>
      </c>
      <c r="K35" s="22" t="s">
        <v>25</v>
      </c>
      <c r="L35" s="22" t="s">
        <v>16</v>
      </c>
      <c r="M35" s="18" t="s">
        <v>154</v>
      </c>
      <c r="N35" s="24">
        <v>0.63300000000000001</v>
      </c>
      <c r="O35" s="25">
        <f t="shared" si="4"/>
        <v>3.165</v>
      </c>
      <c r="P35" s="27" t="s">
        <v>157</v>
      </c>
    </row>
    <row r="36" spans="2:16" x14ac:dyDescent="0.2">
      <c r="B36" s="23">
        <f t="shared" si="3"/>
        <v>5</v>
      </c>
      <c r="C36" s="18" t="s">
        <v>12</v>
      </c>
      <c r="D36" s="19" t="s">
        <v>159</v>
      </c>
      <c r="E36" s="20"/>
      <c r="F36" s="20"/>
      <c r="G36" s="20"/>
      <c r="H36" s="20"/>
      <c r="I36" s="21"/>
      <c r="J36" s="22" t="s">
        <v>158</v>
      </c>
      <c r="K36" s="22" t="s">
        <v>25</v>
      </c>
      <c r="L36" s="22" t="s">
        <v>16</v>
      </c>
      <c r="M36" s="18" t="s">
        <v>160</v>
      </c>
      <c r="N36" s="24">
        <v>4.3665000000000003</v>
      </c>
      <c r="O36" s="25">
        <f t="shared" si="4"/>
        <v>21.832500000000003</v>
      </c>
      <c r="P36" s="27" t="s">
        <v>161</v>
      </c>
    </row>
    <row r="37" spans="2:16" x14ac:dyDescent="0.2">
      <c r="M37" s="28" t="s">
        <v>5</v>
      </c>
      <c r="N37" s="29"/>
      <c r="O37" s="3">
        <f>SUM(O4:O36)</f>
        <v>108.76499999999999</v>
      </c>
    </row>
    <row r="38" spans="2:16" x14ac:dyDescent="0.2">
      <c r="B38" t="s">
        <v>7</v>
      </c>
      <c r="C38" t="s">
        <v>8</v>
      </c>
      <c r="F38" s="12"/>
      <c r="G38" s="12"/>
      <c r="H38" s="12"/>
      <c r="I38" s="13"/>
      <c r="J38" s="13"/>
      <c r="K38" s="13"/>
      <c r="L38" s="11"/>
      <c r="M38" s="9"/>
      <c r="N38" s="10"/>
      <c r="O38" s="2"/>
    </row>
    <row r="39" spans="2:16" x14ac:dyDescent="0.2">
      <c r="B39" t="s">
        <v>10</v>
      </c>
      <c r="C39" t="s">
        <v>11</v>
      </c>
      <c r="F39" s="4"/>
      <c r="G39" s="5"/>
      <c r="H39" s="5"/>
      <c r="I39" s="5"/>
      <c r="J39" s="5"/>
      <c r="K39" s="5"/>
      <c r="L39" s="5"/>
      <c r="M39" s="7" t="s">
        <v>6</v>
      </c>
      <c r="N39" s="7"/>
      <c r="O39" s="6">
        <f>O38+O37</f>
        <v>108.76499999999999</v>
      </c>
    </row>
    <row r="40" spans="2:16" x14ac:dyDescent="0.2">
      <c r="M40" s="30" t="s">
        <v>46</v>
      </c>
      <c r="O40" s="31">
        <f>O39/5</f>
        <v>21.752999999999997</v>
      </c>
    </row>
  </sheetData>
  <mergeCells count="36">
    <mergeCell ref="D32:I32"/>
    <mergeCell ref="D33:I33"/>
    <mergeCell ref="D34:I34"/>
    <mergeCell ref="D35:I35"/>
    <mergeCell ref="D36:I36"/>
    <mergeCell ref="D14:I14"/>
    <mergeCell ref="D17:I17"/>
    <mergeCell ref="D18:I18"/>
    <mergeCell ref="D19:I19"/>
    <mergeCell ref="D20:I20"/>
    <mergeCell ref="M38:N38"/>
    <mergeCell ref="D16:I16"/>
    <mergeCell ref="D15:I15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13:I13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M39:N39"/>
  </mergeCells>
  <hyperlinks>
    <hyperlink ref="P5" r:id="rId1" xr:uid="{5644B2BA-ED03-8440-9B66-CBBFBD5F9484}"/>
    <hyperlink ref="P6" r:id="rId2" xr:uid="{59111D94-A944-E540-AFD1-58CECAA9E13F}"/>
    <hyperlink ref="P8" r:id="rId3" xr:uid="{66173E30-8B08-984E-8C08-68407636FDC1}"/>
    <hyperlink ref="P9" r:id="rId4" xr:uid="{B84B7EA8-1FD9-DA4C-8890-DA47DCF9E683}"/>
    <hyperlink ref="P10" r:id="rId5" xr:uid="{492291BE-A839-F64A-9526-A4244BC2B04A}"/>
    <hyperlink ref="P11" r:id="rId6" xr:uid="{E88D9DB2-BE02-4A4D-88A8-1E8F8FC8F03E}"/>
    <hyperlink ref="P12" r:id="rId7" xr:uid="{B2857CA4-57A6-7A4B-8501-9B59085E8DB1}"/>
    <hyperlink ref="P13" r:id="rId8" xr:uid="{4C7D3843-2D07-2D4B-98CC-6A54F4BF03C0}"/>
    <hyperlink ref="P14" r:id="rId9" xr:uid="{3B355720-BE73-894F-8407-6E5A1E867BBC}"/>
    <hyperlink ref="P15" r:id="rId10" xr:uid="{638B954D-8C9F-654C-AE56-140842E11830}"/>
    <hyperlink ref="P17" r:id="rId11" xr:uid="{E3F5401B-E863-6D4B-8DFB-E6733D9A3808}"/>
    <hyperlink ref="P18" r:id="rId12" xr:uid="{29527A98-3F92-D947-8465-C050CD258909}"/>
    <hyperlink ref="P19" r:id="rId13" xr:uid="{9E8FA793-CFA4-C74A-A99E-09A0A106B71B}"/>
    <hyperlink ref="P20" r:id="rId14" xr:uid="{44C3F319-1151-0649-80C3-BA63DB4785C8}"/>
    <hyperlink ref="P21" r:id="rId15" xr:uid="{B1D6D15C-5099-C841-AC19-39AF0DE16CE6}"/>
    <hyperlink ref="P22" r:id="rId16" xr:uid="{67EC2826-A3CE-D046-B1F6-521CE5C9600F}"/>
    <hyperlink ref="P23" r:id="rId17" xr:uid="{F21551A8-6A32-A740-B754-9E5A85E1FB8C}"/>
    <hyperlink ref="P24" r:id="rId18" xr:uid="{7F41A7ED-5072-1D4F-8E46-5749C96FEA1C}"/>
    <hyperlink ref="P25" r:id="rId19" xr:uid="{9612638E-4C72-8948-A4CF-8074DF812995}"/>
    <hyperlink ref="P26" r:id="rId20" xr:uid="{6456C531-6D13-2347-B62F-4DB5066F5959}"/>
    <hyperlink ref="P27" r:id="rId21" xr:uid="{7E8CC48C-81F3-184D-8587-4E8FCBD3BA52}"/>
    <hyperlink ref="P28" r:id="rId22" xr:uid="{118A4B02-77E9-CC4A-AED9-21C7A2442C8B}"/>
    <hyperlink ref="P29" r:id="rId23" xr:uid="{9E0908A2-3909-0240-A937-655D9B81B074}"/>
    <hyperlink ref="P30" r:id="rId24" xr:uid="{141F9570-4334-0241-8612-8BF79240E3FF}"/>
    <hyperlink ref="P31" r:id="rId25" xr:uid="{79FAFAAF-A4B6-A349-9AF9-BA988A22D89E}"/>
    <hyperlink ref="P32" r:id="rId26" xr:uid="{30750BB5-3426-824C-ADF9-36DF260D3CD5}"/>
    <hyperlink ref="P33" r:id="rId27" xr:uid="{38F53038-6AC7-0943-A17A-1B7DB820D1F7}"/>
    <hyperlink ref="P34" r:id="rId28" xr:uid="{23428F13-92D9-4C4B-BA09-C7E898976C23}"/>
    <hyperlink ref="P35" r:id="rId29" xr:uid="{B1937385-999A-4F41-9FC8-1C5A0D27E01A}"/>
    <hyperlink ref="P36" r:id="rId30" xr:uid="{EABDE385-3109-9243-A76B-B995D48E36D4}"/>
  </hyperlinks>
  <pageMargins left="0.7" right="0.7" top="0.75" bottom="0.75" header="0.3" footer="0.3"/>
  <pageSetup orientation="portrait" horizontalDpi="0" verticalDpi="0"/>
  <ignoredErrors>
    <ignoredError sqref="B11 B20:B21 B24 B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Fikes</dc:creator>
  <cp:lastModifiedBy>Nathan Fikes</cp:lastModifiedBy>
  <dcterms:created xsi:type="dcterms:W3CDTF">2025-11-29T03:30:24Z</dcterms:created>
  <dcterms:modified xsi:type="dcterms:W3CDTF">2025-11-29T04:48:03Z</dcterms:modified>
</cp:coreProperties>
</file>